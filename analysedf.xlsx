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projets\TP_BTS_ATI\"/>
    </mc:Choice>
  </mc:AlternateContent>
  <xr:revisionPtr revIDLastSave="0" documentId="13_ncr:9_{EA760E1B-8969-4816-8276-0B5505203FD9}" xr6:coauthVersionLast="47" xr6:coauthVersionMax="47" xr10:uidLastSave="{00000000-0000-0000-0000-000000000000}"/>
  <bookViews>
    <workbookView xWindow="-120" yWindow="-120" windowWidth="29040" windowHeight="15720" xr2:uid="{454D4F72-5EE3-4744-97CA-9D3F758700F3}"/>
  </bookViews>
  <sheets>
    <sheet name="df" sheetId="1" r:id="rId1"/>
  </sheets>
  <calcPr calcId="0"/>
</workbook>
</file>

<file path=xl/calcChain.xml><?xml version="1.0" encoding="utf-8"?>
<calcChain xmlns="http://schemas.openxmlformats.org/spreadsheetml/2006/main">
  <c r="B38" i="1" l="1"/>
  <c r="B37" i="1"/>
  <c r="B35" i="1"/>
  <c r="F33" i="1"/>
  <c r="B34" i="1"/>
  <c r="E33" i="1"/>
  <c r="C33" i="1"/>
  <c r="D33" i="1"/>
  <c r="B33" i="1"/>
  <c r="C32" i="1"/>
  <c r="D32" i="1"/>
  <c r="B32" i="1"/>
</calcChain>
</file>

<file path=xl/sharedStrings.xml><?xml version="1.0" encoding="utf-8"?>
<sst xmlns="http://schemas.openxmlformats.org/spreadsheetml/2006/main" count="9" uniqueCount="9">
  <si>
    <t>C1</t>
  </si>
  <si>
    <t>C2</t>
  </si>
  <si>
    <t>C3</t>
  </si>
  <si>
    <t>SCR</t>
  </si>
  <si>
    <t>SCF</t>
  </si>
  <si>
    <t>CMR</t>
  </si>
  <si>
    <t>CMF</t>
  </si>
  <si>
    <t>F =</t>
  </si>
  <si>
    <t>Pr(X&gt;F)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</si>
</sst>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0" xfId="0" applyFill="1"/>
    <xf numFmtId="0" fontId="0" fillId="33" borderId="11" xfId="0" applyFill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8576-4258-4D68-AD6A-0DEEA9999B0E}">
  <dimension ref="A1:F38"/>
  <sheetViews>
    <sheetView tabSelected="1" topLeftCell="A7" workbookViewId="0">
      <selection activeCell="J33" sqref="J33"/>
    </sheetView>
  </sheetViews>
  <sheetFormatPr baseColWidth="10" defaultRowHeight="15" x14ac:dyDescent="0.25"/>
  <cols>
    <col min="2" max="2" width="12" bestFit="1" customWidth="1"/>
    <col min="6" max="6" width="12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>
        <v>1</v>
      </c>
      <c r="B2" s="1">
        <v>-2.69924807692167E-3</v>
      </c>
      <c r="C2" s="1">
        <v>4.6992929143580101E-4</v>
      </c>
      <c r="D2" s="1">
        <v>-3.39611110522432E-3</v>
      </c>
    </row>
    <row r="3" spans="1:4" x14ac:dyDescent="0.25">
      <c r="A3">
        <v>2</v>
      </c>
      <c r="B3" s="1">
        <v>-9.0493366463977806E-3</v>
      </c>
      <c r="C3" s="1">
        <v>-3.1615648927485998E-3</v>
      </c>
      <c r="D3" s="1">
        <v>-6.7421395998280701E-4</v>
      </c>
    </row>
    <row r="4" spans="1:4" x14ac:dyDescent="0.25">
      <c r="A4">
        <v>3</v>
      </c>
      <c r="B4" s="1">
        <v>4.6710929174964199E-3</v>
      </c>
      <c r="C4" s="1">
        <v>5.7598268423768601E-3</v>
      </c>
      <c r="D4" s="1">
        <v>-4.0097527547167397E-3</v>
      </c>
    </row>
    <row r="5" spans="1:4" x14ac:dyDescent="0.25">
      <c r="A5">
        <v>4</v>
      </c>
      <c r="B5" s="1">
        <v>7.7636869638227201E-3</v>
      </c>
      <c r="C5" s="1">
        <v>-6.5867087806207201E-3</v>
      </c>
      <c r="D5" s="1">
        <v>-1.86828484622836E-3</v>
      </c>
    </row>
    <row r="6" spans="1:4" x14ac:dyDescent="0.25">
      <c r="A6">
        <v>5</v>
      </c>
      <c r="B6" s="1">
        <v>6.7946104853461101E-3</v>
      </c>
      <c r="C6" s="1">
        <v>-1.0964682723468599E-2</v>
      </c>
      <c r="D6" s="1">
        <v>-4.11519192696808E-4</v>
      </c>
    </row>
    <row r="7" spans="1:4" x14ac:dyDescent="0.25">
      <c r="A7">
        <v>6</v>
      </c>
      <c r="B7" s="1">
        <v>5.6585136833241399E-3</v>
      </c>
      <c r="C7" s="1">
        <v>-4.5922838414316604E-3</v>
      </c>
      <c r="D7" s="1">
        <v>1.3809906992776099E-3</v>
      </c>
    </row>
    <row r="8" spans="1:4" x14ac:dyDescent="0.25">
      <c r="A8">
        <v>7</v>
      </c>
      <c r="B8" s="1">
        <v>-2.4390298644450499E-3</v>
      </c>
      <c r="C8" s="1">
        <v>-1.5842507219080301E-2</v>
      </c>
      <c r="D8" s="1">
        <v>9.8231969462663307E-4</v>
      </c>
    </row>
    <row r="9" spans="1:4" x14ac:dyDescent="0.25">
      <c r="A9">
        <v>8</v>
      </c>
      <c r="B9" s="1">
        <v>-2.5955306304831401E-3</v>
      </c>
      <c r="C9" s="1">
        <v>-8.0947468100870095E-3</v>
      </c>
      <c r="D9" s="1">
        <v>3.2461756423389802E-3</v>
      </c>
    </row>
    <row r="10" spans="1:4" x14ac:dyDescent="0.25">
      <c r="A10">
        <v>9</v>
      </c>
      <c r="B10" s="1">
        <v>2.56299185886076E-3</v>
      </c>
      <c r="C10" s="1">
        <v>-4.3867076544272998E-3</v>
      </c>
      <c r="D10" s="1">
        <v>-1.17909971258355E-3</v>
      </c>
    </row>
    <row r="11" spans="1:4" x14ac:dyDescent="0.25">
      <c r="A11">
        <v>10</v>
      </c>
      <c r="B11" s="1">
        <v>-2.98133791473933E-3</v>
      </c>
      <c r="C11" s="1">
        <v>-5.3947828259261702E-3</v>
      </c>
      <c r="D11" s="1">
        <v>2.20938598485294E-3</v>
      </c>
    </row>
    <row r="12" spans="1:4" x14ac:dyDescent="0.25">
      <c r="A12">
        <v>11</v>
      </c>
      <c r="B12" s="1">
        <v>-1.19207749510975E-2</v>
      </c>
      <c r="C12" s="1">
        <v>-8.8293377101052097E-4</v>
      </c>
      <c r="D12" s="1">
        <v>1.51352652305584E-3</v>
      </c>
    </row>
    <row r="13" spans="1:4" x14ac:dyDescent="0.25">
      <c r="A13">
        <v>12</v>
      </c>
      <c r="B13" s="1">
        <v>8.3777012463773096E-4</v>
      </c>
      <c r="C13" s="1">
        <v>-9.1705706038190703E-4</v>
      </c>
      <c r="D13" s="1">
        <v>9.5347699917337802E-4</v>
      </c>
    </row>
    <row r="14" spans="1:4" x14ac:dyDescent="0.25">
      <c r="A14">
        <v>13</v>
      </c>
      <c r="B14" s="1">
        <v>-6.1302431691746999E-3</v>
      </c>
      <c r="C14" s="1">
        <v>-5.6825827332140201E-3</v>
      </c>
      <c r="D14" s="1">
        <v>-1.43337837647275E-3</v>
      </c>
    </row>
    <row r="15" spans="1:4" x14ac:dyDescent="0.25">
      <c r="A15">
        <v>14</v>
      </c>
      <c r="B15" s="1">
        <v>2.2080940880469702E-3</v>
      </c>
      <c r="C15" s="1">
        <v>-2.4605785553190599E-2</v>
      </c>
      <c r="D15" s="1">
        <v>-2.5362943376758102E-3</v>
      </c>
    </row>
    <row r="16" spans="1:4" x14ac:dyDescent="0.25">
      <c r="A16">
        <v>15</v>
      </c>
      <c r="B16" s="1">
        <v>-2.61585037663018E-3</v>
      </c>
      <c r="C16" s="1">
        <v>2.7813971535347402E-3</v>
      </c>
      <c r="D16" s="1">
        <v>1.01153508550606E-3</v>
      </c>
    </row>
    <row r="17" spans="1:6" x14ac:dyDescent="0.25">
      <c r="A17">
        <v>16</v>
      </c>
      <c r="B17" s="1">
        <v>-8.8604151837380699E-3</v>
      </c>
      <c r="C17" s="1">
        <v>1.6164024051989301E-2</v>
      </c>
      <c r="D17" s="1">
        <v>-2.4569508298359702E-3</v>
      </c>
    </row>
    <row r="18" spans="1:6" x14ac:dyDescent="0.25">
      <c r="A18">
        <v>17</v>
      </c>
      <c r="B18" s="1">
        <v>-4.6486455414689303E-3</v>
      </c>
      <c r="C18" s="1">
        <v>2.05810795986189E-2</v>
      </c>
      <c r="D18" s="1">
        <v>1.27010532499944E-3</v>
      </c>
    </row>
    <row r="19" spans="1:6" x14ac:dyDescent="0.25">
      <c r="A19">
        <v>18</v>
      </c>
      <c r="B19" s="1">
        <v>1.32529772259046E-2</v>
      </c>
      <c r="C19" s="1">
        <v>-4.3984246230665999E-4</v>
      </c>
      <c r="D19" s="1">
        <v>-4.1143787873134399E-4</v>
      </c>
    </row>
    <row r="20" spans="1:6" x14ac:dyDescent="0.25">
      <c r="A20">
        <v>19</v>
      </c>
      <c r="B20" s="1">
        <v>2.4140966441078501E-3</v>
      </c>
      <c r="C20" s="1">
        <v>-8.3457153261677804E-3</v>
      </c>
      <c r="D20" s="1">
        <v>1.2023467927262999E-4</v>
      </c>
    </row>
    <row r="21" spans="1:6" x14ac:dyDescent="0.25">
      <c r="A21">
        <v>20</v>
      </c>
      <c r="B21" s="1">
        <v>-1.6447910421601101E-3</v>
      </c>
      <c r="C21" s="1">
        <v>6.1188616906155402E-3</v>
      </c>
      <c r="D21" s="1">
        <v>1.6246681391452499E-3</v>
      </c>
    </row>
    <row r="22" spans="1:6" x14ac:dyDescent="0.25">
      <c r="A22">
        <v>21</v>
      </c>
      <c r="B22" s="1">
        <v>5.9889799483853999E-3</v>
      </c>
      <c r="C22" s="1">
        <v>-6.6738633320019202E-3</v>
      </c>
      <c r="D22" s="1">
        <v>3.0676902798864999E-3</v>
      </c>
    </row>
    <row r="23" spans="1:6" x14ac:dyDescent="0.25">
      <c r="A23">
        <v>22</v>
      </c>
      <c r="B23" s="1">
        <v>-3.3580297705062901E-3</v>
      </c>
      <c r="C23" s="1">
        <v>-7.1521257209201201E-3</v>
      </c>
      <c r="D23" s="1">
        <v>1.2521419522299299E-3</v>
      </c>
    </row>
    <row r="24" spans="1:6" x14ac:dyDescent="0.25">
      <c r="A24">
        <v>23</v>
      </c>
      <c r="B24" s="1">
        <v>-4.4197045640747903E-3</v>
      </c>
      <c r="C24" s="1">
        <v>-8.6370911402022608E-3</v>
      </c>
      <c r="D24" s="1">
        <v>2.4577249074694799E-3</v>
      </c>
    </row>
    <row r="25" spans="1:6" x14ac:dyDescent="0.25">
      <c r="A25">
        <v>24</v>
      </c>
      <c r="B25" s="1">
        <v>5.9139306202756004E-3</v>
      </c>
      <c r="C25" s="1">
        <v>-1.2522661795174901E-2</v>
      </c>
      <c r="D25" s="1">
        <v>-2.2012318107414398E-3</v>
      </c>
    </row>
    <row r="26" spans="1:6" x14ac:dyDescent="0.25">
      <c r="A26">
        <v>25</v>
      </c>
      <c r="B26" s="1">
        <v>-2.69078451556923E-3</v>
      </c>
      <c r="C26" s="1">
        <v>2.42894667418958E-3</v>
      </c>
      <c r="D26" s="1">
        <v>-2.24441963365092E-3</v>
      </c>
    </row>
    <row r="27" spans="1:6" x14ac:dyDescent="0.25">
      <c r="A27">
        <v>26</v>
      </c>
      <c r="B27" s="1">
        <v>2.7743094006881402E-3</v>
      </c>
      <c r="C27" s="1">
        <v>-6.4559526325783604E-3</v>
      </c>
      <c r="D27" s="1">
        <v>1.85028603676958E-3</v>
      </c>
    </row>
    <row r="28" spans="1:6" x14ac:dyDescent="0.25">
      <c r="A28">
        <v>27</v>
      </c>
      <c r="B28" s="1">
        <v>1.38525909062932E-3</v>
      </c>
      <c r="C28" s="1">
        <v>1.2845780679760801E-2</v>
      </c>
      <c r="D28" s="1">
        <v>1.13301105524239E-3</v>
      </c>
    </row>
    <row r="29" spans="1:6" x14ac:dyDescent="0.25">
      <c r="A29">
        <v>28</v>
      </c>
      <c r="B29" s="1">
        <v>5.1778773398431397E-3</v>
      </c>
      <c r="C29" s="1">
        <v>-7.5219100490865002E-3</v>
      </c>
      <c r="D29" s="1">
        <v>8.23332140471127E-4</v>
      </c>
    </row>
    <row r="30" spans="1:6" x14ac:dyDescent="0.25">
      <c r="A30">
        <v>29</v>
      </c>
      <c r="B30" s="1">
        <v>4.0684661307636601E-3</v>
      </c>
      <c r="C30" s="1">
        <v>-8.5579220565332407E-3</v>
      </c>
      <c r="D30" s="1">
        <v>1.7089011870053199E-3</v>
      </c>
    </row>
    <row r="31" spans="1:6" x14ac:dyDescent="0.25">
      <c r="A31">
        <v>30</v>
      </c>
      <c r="B31" s="1">
        <v>-3.1904636283217498E-3</v>
      </c>
      <c r="C31" s="1">
        <v>-1.09104601043973E-2</v>
      </c>
      <c r="D31" s="1">
        <v>4.5754091306859598E-4</v>
      </c>
    </row>
    <row r="32" spans="1:6" x14ac:dyDescent="0.25">
      <c r="B32" s="6">
        <f>AVERAGE(B2:B31)</f>
        <v>7.4282354880134683E-5</v>
      </c>
      <c r="C32" s="6">
        <f t="shared" ref="C32:D32" si="0">AVERAGE(C2:C31)</f>
        <v>-3.3726680834144985E-3</v>
      </c>
      <c r="D32" s="6">
        <f t="shared" si="0"/>
        <v>1.4134509352836224E-4</v>
      </c>
      <c r="F32" s="4" t="s">
        <v>5</v>
      </c>
    </row>
    <row r="33" spans="1:6" x14ac:dyDescent="0.25">
      <c r="A33" s="2" t="s">
        <v>3</v>
      </c>
      <c r="B33" s="1">
        <f>DEVSQ(B2:B31)</f>
        <v>9.2588029010996168E-4</v>
      </c>
      <c r="C33" s="1">
        <f t="shared" ref="C33:D33" si="1">DEVSQ(C2:C31)</f>
        <v>2.4794929627275277E-3</v>
      </c>
      <c r="D33" s="1">
        <f t="shared" si="1"/>
        <v>1.0940831839453744E-4</v>
      </c>
      <c r="E33" s="2">
        <f>SUM(B33:D33)</f>
        <v>3.5147815712320268E-3</v>
      </c>
      <c r="F33" s="4">
        <f>E33/87</f>
        <v>4.0399788175080768E-5</v>
      </c>
    </row>
    <row r="34" spans="1:6" x14ac:dyDescent="0.25">
      <c r="A34" s="5" t="s">
        <v>4</v>
      </c>
      <c r="B34" s="5">
        <f>DEVSQ(B32:D32)*30</f>
        <v>2.4234253342702626E-4</v>
      </c>
    </row>
    <row r="35" spans="1:6" x14ac:dyDescent="0.25">
      <c r="A35" s="3" t="s">
        <v>6</v>
      </c>
      <c r="B35" s="3">
        <f>B34/2</f>
        <v>1.2117126671351313E-4</v>
      </c>
    </row>
    <row r="37" spans="1:6" x14ac:dyDescent="0.25">
      <c r="A37" s="1" t="s">
        <v>7</v>
      </c>
      <c r="B37" s="1">
        <f>B35/F33</f>
        <v>2.999304505964056</v>
      </c>
    </row>
    <row r="38" spans="1:6" x14ac:dyDescent="0.25">
      <c r="A38" s="1" t="s">
        <v>8</v>
      </c>
      <c r="B38" s="1">
        <f>1-_xlfn.F.DIST(B37,2,87,TRUE)</f>
        <v>5.4999886225802985E-2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Stéphane JAUBERT</cp:lastModifiedBy>
  <dcterms:created xsi:type="dcterms:W3CDTF">2025-11-02T07:36:05Z</dcterms:created>
  <dcterms:modified xsi:type="dcterms:W3CDTF">2025-11-02T07:49:14Z</dcterms:modified>
</cp:coreProperties>
</file>